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Q\"/>
    </mc:Choice>
  </mc:AlternateContent>
  <xr:revisionPtr revIDLastSave="0" documentId="13_ncr:1_{8023D9CB-A6BC-4574-A1FE-9F38A5174A26}" xr6:coauthVersionLast="47" xr6:coauthVersionMax="47" xr10:uidLastSave="{00000000-0000-0000-0000-000000000000}"/>
  <bookViews>
    <workbookView xWindow="-108" yWindow="-108" windowWidth="23256" windowHeight="12456" activeTab="1" xr2:uid="{DCF6AFA0-63BF-4E45-A460-64F597401D33}"/>
  </bookViews>
  <sheets>
    <sheet name="Q1Sales" sheetId="7" r:id="rId1"/>
    <sheet name="Q3Sales" sheetId="8" r:id="rId2"/>
    <sheet name="Q2Sales" sheetId="6" r:id="rId3"/>
  </sheets>
  <definedNames>
    <definedName name="BikesQ1">Q1Sales!$B$5:$D$17</definedName>
    <definedName name="ExternalData_1" localSheetId="0" hidden="1">Q1Sales!$F$5:$F$9</definedName>
    <definedName name="ExternalData_1" localSheetId="1" hidden="1">Q3Sales!$H$6:$J$28</definedName>
    <definedName name="ExternalData_2" localSheetId="0" hidden="1">Q1Sales!$Q$5:$Q$11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7" l="1"/>
  <c r="R7" i="7"/>
  <c r="R8" i="7"/>
  <c r="R9" i="7"/>
  <c r="R10" i="7"/>
  <c r="R11" i="7"/>
  <c r="G6" i="7"/>
  <c r="G7" i="7"/>
  <c r="G8" i="7"/>
  <c r="G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4459F-7BF5-4A83-B8AC-963F9FE69FD8}" keepAlive="1" name="Query - Bikes" description="Connection to the 'Bikes' query in the workbook." type="5" refreshedVersion="6" background="1" saveData="1">
    <dbPr connection="Provider=Microsoft.Mashup.OleDb.1;Data Source=$Workbook$;Location=Bikes;Extended Properties=&quot;&quot;" command="SELECT * FROM [Bikes]"/>
  </connection>
  <connection id="2" xr16:uid="{4ABA8CCA-4609-40F7-A194-C23AF016CC06}" keepAlive="1" name="Query - BikesQ1" description="Connection to the 'BikesQ1' query in the workbook." type="5" refreshedVersion="6" background="1" saveData="1">
    <dbPr connection="Provider=Microsoft.Mashup.OleDb.1;Data Source=$Workbook$;Location=BikesQ1;Extended Properties=&quot;&quot;" command="SELECT * FROM [BikesQ1]"/>
  </connection>
  <connection id="3" xr16:uid="{949D9B47-CAB6-4641-AA96-6853CB703EC1}" keepAlive="1" name="Query - Q3Sales_Table" description="Connection to the 'Q3Sales_Table' query in the workbook." type="5" refreshedVersion="8" background="1" saveData="1">
    <dbPr connection="Provider=Microsoft.Mashup.OleDb.1;Data Source=$Workbook$;Location=Q3Sales_Table;Extended Properties=&quot;&quot;" command="SELECT * FROM [Q3Sales_Table]"/>
  </connection>
</connections>
</file>

<file path=xl/sharedStrings.xml><?xml version="1.0" encoding="utf-8"?>
<sst xmlns="http://schemas.openxmlformats.org/spreadsheetml/2006/main" count="187" uniqueCount="21">
  <si>
    <t>Product Name</t>
  </si>
  <si>
    <t>Touring Bikes</t>
  </si>
  <si>
    <t>Cargo Bike</t>
  </si>
  <si>
    <t>Mountain Bikes</t>
  </si>
  <si>
    <t>Road Bikes</t>
  </si>
  <si>
    <t>Sales Value</t>
  </si>
  <si>
    <t>Sum of Sales Value</t>
  </si>
  <si>
    <t>Months</t>
  </si>
  <si>
    <t>Hybrid Bikes</t>
  </si>
  <si>
    <t>UnNamedRange</t>
  </si>
  <si>
    <t>NamedRange</t>
  </si>
  <si>
    <t>Summary by Product</t>
  </si>
  <si>
    <t>Sales</t>
  </si>
  <si>
    <t>Sales By Month</t>
  </si>
  <si>
    <t>Table</t>
  </si>
  <si>
    <t>Grand Total</t>
  </si>
  <si>
    <t>31-01-2018 Total</t>
  </si>
  <si>
    <t>28-02-2018 Total</t>
  </si>
  <si>
    <t>31-03-2018 Total</t>
  </si>
  <si>
    <t>30-04-2018 Total</t>
  </si>
  <si>
    <t>31-05-2018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</si>
</sst>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166" fontId="0" fillId="0" borderId="0" xfId="1" applyNumberFormat="1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2" applyNumberFormat="1" applyFont="1"/>
    <xf numFmtId="167" fontId="0" fillId="0" borderId="0" xfId="2" applyNumberFormat="1" applyFont="1"/>
    <xf numFmtId="14" fontId="0" fillId="0" borderId="0" xfId="2" applyNumberFormat="1" applyFont="1"/>
    <xf numFmtId="0" fontId="0" fillId="0" borderId="0" xfId="0" applyNumberFormat="1"/>
    <xf numFmtId="0" fontId="0" fillId="0" borderId="0" xfId="0" pivotButton="1"/>
  </cellXfs>
  <cellStyles count="3">
    <cellStyle name="Comma" xfId="1" builtinId="3"/>
    <cellStyle name="Currency" xfId="2" builtinId="4"/>
    <cellStyle name="Normal" xfId="0" builtinId="0"/>
  </cellStyles>
  <dxfs count="13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numFmt numFmtId="19" formatCode="dd/mm/yyyy"/>
    </dxf>
    <dxf>
      <numFmt numFmtId="168" formatCode="dd/mm/yy"/>
    </dxf>
    <dxf>
      <numFmt numFmtId="168" formatCode="dd/mm/yy"/>
    </dxf>
    <dxf>
      <numFmt numFmtId="167" formatCode="_(&quot;$&quot;* #,##0_);_(&quot;$&quot;* \(#,##0\);_(&quot;$&quot;* &quot;-&quot;??_);_(@_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numFmt numFmtId="168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8.538570370372" createdVersion="8" refreshedVersion="8" minRefreshableVersion="3" recordCount="22" xr:uid="{9C30FD4A-BADA-4CAC-BA65-AD4FD9BC8476}">
  <cacheSource type="worksheet">
    <worksheetSource name="Q3Sales_Table_1"/>
  </cacheSource>
  <cacheFields count="5">
    <cacheField name="Months" numFmtId="14">
      <sharedItems containsSemiMixedTypes="0" containsNonDate="0" containsDate="1" containsString="0" minDate="2018-01-31T00:00:00" maxDate="2018-06-01T00:00:00" count="5">
        <d v="2018-01-31T00:00:00"/>
        <d v="2018-02-28T00:00:00"/>
        <d v="2018-03-31T00:00:00"/>
        <d v="2018-04-30T00:00:00"/>
        <d v="2018-05-31T00:00:00"/>
      </sharedItems>
      <fieldGroup par="4"/>
    </cacheField>
    <cacheField name="Product Name" numFmtId="0">
      <sharedItems count="5">
        <s v="Cargo Bike"/>
        <s v="Mountain Bikes"/>
        <s v="Road Bikes"/>
        <s v="Touring Bikes"/>
        <s v="Hybrid Bikes"/>
      </sharedItems>
    </cacheField>
    <cacheField name="Sales Value" numFmtId="0">
      <sharedItems containsSemiMixedTypes="0" containsString="0" containsNumber="1" containsInteger="1" minValue="28786" maxValue="126444"/>
    </cacheField>
    <cacheField name="Days (Months)" numFmtId="0" databaseField="0">
      <fieldGroup base="0">
        <rangePr groupBy="days" startDate="2018-01-31T00:00:00" endDate="2018-06-01T00:00:00"/>
        <groupItems count="368">
          <s v="&lt;3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6-2018"/>
        </groupItems>
      </fieldGroup>
    </cacheField>
    <cacheField name="Months (Months)" numFmtId="0" databaseField="0">
      <fieldGroup base="0">
        <rangePr groupBy="months" startDate="2018-01-31T00:00:00" endDate="2018-06-01T00:00:00"/>
        <groupItems count="14">
          <s v="&lt;3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124722"/>
  </r>
  <r>
    <x v="0"/>
    <x v="1"/>
    <n v="100127"/>
  </r>
  <r>
    <x v="0"/>
    <x v="2"/>
    <n v="28786"/>
  </r>
  <r>
    <x v="0"/>
    <x v="3"/>
    <n v="65650"/>
  </r>
  <r>
    <x v="1"/>
    <x v="0"/>
    <n v="106518"/>
  </r>
  <r>
    <x v="1"/>
    <x v="1"/>
    <n v="103918"/>
  </r>
  <r>
    <x v="1"/>
    <x v="2"/>
    <n v="29156"/>
  </r>
  <r>
    <x v="1"/>
    <x v="3"/>
    <n v="50570"/>
  </r>
  <r>
    <x v="2"/>
    <x v="0"/>
    <n v="120786"/>
  </r>
  <r>
    <x v="2"/>
    <x v="1"/>
    <n v="112392"/>
  </r>
  <r>
    <x v="2"/>
    <x v="2"/>
    <n v="36112"/>
  </r>
  <r>
    <x v="2"/>
    <x v="3"/>
    <n v="54730"/>
  </r>
  <r>
    <x v="3"/>
    <x v="0"/>
    <n v="126444"/>
  </r>
  <r>
    <x v="3"/>
    <x v="1"/>
    <n v="117967"/>
  </r>
  <r>
    <x v="3"/>
    <x v="2"/>
    <n v="36704"/>
  </r>
  <r>
    <x v="3"/>
    <x v="3"/>
    <n v="63830"/>
  </r>
  <r>
    <x v="3"/>
    <x v="4"/>
    <n v="67100"/>
  </r>
  <r>
    <x v="4"/>
    <x v="0"/>
    <n v="110700"/>
  </r>
  <r>
    <x v="4"/>
    <x v="1"/>
    <n v="111500"/>
  </r>
  <r>
    <x v="4"/>
    <x v="2"/>
    <n v="36926"/>
  </r>
  <r>
    <x v="4"/>
    <x v="3"/>
    <n v="56550"/>
  </r>
  <r>
    <x v="4"/>
    <x v="4"/>
    <n v="66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01423-BDA6-468C-9D93-A1E5478FB1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6:N34" firstHeaderRow="1" firstDataRow="1" firstDataCol="2"/>
  <pivotFields count="5"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6">
        <item x="0"/>
        <item x="4"/>
        <item x="1"/>
        <item x="2"/>
        <item x="3"/>
        <item t="default"/>
      </items>
    </pivotField>
    <pivotField dataField="1"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28">
    <i>
      <x/>
      <x/>
    </i>
    <i r="1">
      <x v="2"/>
    </i>
    <i r="1">
      <x v="3"/>
    </i>
    <i r="1">
      <x v="4"/>
    </i>
    <i t="default">
      <x/>
    </i>
    <i>
      <x v="1"/>
      <x/>
    </i>
    <i r="1">
      <x v="2"/>
    </i>
    <i r="1">
      <x v="3"/>
    </i>
    <i r="1">
      <x v="4"/>
    </i>
    <i t="default">
      <x v="1"/>
    </i>
    <i>
      <x v="2"/>
      <x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dataFields count="1">
    <dataField name="Sum of Sales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6784DA-A81C-4A27-91E9-140DB9726F6E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Product Name" tableColumnId="1"/>
      <queryTableField id="2" dataBound="0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E46C3B0-9023-4524-81FB-7330603EA25B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Months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145529-C162-46A3-BFE2-0ACBB506033A}" autoFormatId="16" applyNumberFormats="0" applyBorderFormats="0" applyFontFormats="0" applyPatternFormats="0" applyAlignmentFormats="0" applyWidthHeightFormats="0">
  <queryTableRefresh nextId="4">
    <queryTableFields count="3">
      <queryTableField id="1" name="Months" tableColumnId="1"/>
      <queryTableField id="2" name="Product Name" tableColumnId="2"/>
      <queryTableField id="3" name="Sales Valu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61F02A-2C6C-4B5F-9077-75D8F2D35C55}" name="Bikes" displayName="Bikes" ref="M5:O32" totalsRowShown="0" headerRowDxfId="12">
  <autoFilter ref="M5:O32" xr:uid="{4479316B-BEDE-4510-9A95-075AD714A6D1}"/>
  <tableColumns count="3">
    <tableColumn id="1" xr3:uid="{17450948-ADD1-4C1F-81EB-6BA932163DC6}" name="Months" dataDxfId="11"/>
    <tableColumn id="2" xr3:uid="{25225914-18A6-4A94-9B58-72353F533AE5}" name="Product Name"/>
    <tableColumn id="3" xr3:uid="{457430A6-A17E-4D64-A896-F1FFF12F278B}" name="Sales Value" dataDxfId="1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1779BE-EC8E-466A-A5AA-2532C3875C9A}" name="BikesQ1" displayName="BikesQ1_1" ref="F5:G9" tableType="queryTable" totalsRowShown="0" headerRowDxfId="9">
  <autoFilter ref="F5:G9" xr:uid="{35D9D923-F6D7-46CC-BF07-3A7A7146F4F9}"/>
  <tableColumns count="2">
    <tableColumn id="1" xr3:uid="{4AEBE620-7BA6-4082-95BE-7273F196C935}" uniqueName="1" name="Product Name" queryTableFieldId="1" dataDxfId="8"/>
    <tableColumn id="2" xr3:uid="{D58B841D-C29B-49D7-884C-FFD79BAF4579}" uniqueName="2" name="Sales" queryTableFieldId="2" dataDxfId="7" dataCellStyle="Currency">
      <calculatedColumnFormula>SUMIFS($D$6:$D$17,$C$6:$C$17,BikesQ1_1[[#This Row],[Product Name]])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0C729-0821-422B-BCC7-24127ECFF6DA}" name="Bikes_2" displayName="Bikes_2" ref="Q5:R11" tableType="queryTable" totalsRowShown="0">
  <autoFilter ref="Q5:R11" xr:uid="{CEA17D6D-11AC-4742-BEE3-4F8A7EC772C2}"/>
  <tableColumns count="2">
    <tableColumn id="1" xr3:uid="{7BCF61DD-7AF4-47D0-9D0D-2C42005657FB}" uniqueName="1" name="Months" queryTableFieldId="1" dataDxfId="6"/>
    <tableColumn id="2" xr3:uid="{EEB90E8E-41F6-49CE-87CB-7B6EAB659C59}" uniqueName="2" name="Sales" queryTableFieldId="2" dataDxfId="5">
      <calculatedColumnFormula>SUMIFS(Bikes[Sales Value],Bikes[Months],Bikes_2[[#This Row],[Months]])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7EE07-E4C8-46C5-A5E8-99C0E9570FC3}" name="Q3Sales_Table" displayName="Q3Sales_Table" ref="B5:D27" totalsRowShown="0" headerRowDxfId="2">
  <autoFilter ref="B5:D27" xr:uid="{4F07EE07-E4C8-46C5-A5E8-99C0E9570FC3}"/>
  <tableColumns count="3">
    <tableColumn id="1" xr3:uid="{5FE4C37A-ECF4-4C70-BD7D-6E73476595C3}" name="Months" dataDxfId="4"/>
    <tableColumn id="2" xr3:uid="{76813705-2974-4533-98E1-C962C0403C84}" name="Product Name"/>
    <tableColumn id="3" xr3:uid="{42BB717B-F0C4-4481-8517-7D4997B47FE5}" name="Sales Value" dataDxfId="3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ACC6D-1E6B-4A0F-8633-AD735EB8D847}" name="Q3Sales_Table_1" displayName="Q3Sales_Table_1" ref="H6:J28" tableType="queryTable" totalsRowShown="0">
  <autoFilter ref="H6:J28" xr:uid="{8C0ACC6D-1E6B-4A0F-8633-AD735EB8D847}"/>
  <tableColumns count="3">
    <tableColumn id="1" xr3:uid="{35A75BDC-D71F-4C34-AA67-6F27FCB29632}" uniqueName="1" name="Months" queryTableFieldId="1" dataDxfId="1"/>
    <tableColumn id="2" xr3:uid="{CCD80AAE-04C9-4B92-97D4-5E1675E5B5CB}" uniqueName="2" name="Product Name" queryTableFieldId="2" dataDxfId="0"/>
    <tableColumn id="3" xr3:uid="{665C43F4-C17E-48C8-A072-4BFA8D82A9BE}" uniqueName="3" name="Sales 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6D82-3FCF-4B1E-8447-8FBF8D9DD665}">
  <dimension ref="A3:R45"/>
  <sheetViews>
    <sheetView topLeftCell="A2" workbookViewId="0">
      <selection activeCell="B5" sqref="B5:D27"/>
    </sheetView>
  </sheetViews>
  <sheetFormatPr defaultRowHeight="14.4" x14ac:dyDescent="0.3"/>
  <cols>
    <col min="2" max="2" width="12.88671875" bestFit="1" customWidth="1"/>
    <col min="3" max="3" width="14.88671875" bestFit="1" customWidth="1"/>
    <col min="4" max="4" width="11.109375" bestFit="1" customWidth="1"/>
    <col min="6" max="6" width="16" bestFit="1" customWidth="1"/>
    <col min="7" max="7" width="10.109375" bestFit="1" customWidth="1"/>
    <col min="9" max="9" width="15.5546875" bestFit="1" customWidth="1"/>
    <col min="10" max="10" width="14.88671875" bestFit="1" customWidth="1"/>
    <col min="11" max="11" width="11.109375" bestFit="1" customWidth="1"/>
    <col min="13" max="13" width="10.109375" bestFit="1" customWidth="1"/>
    <col min="14" max="14" width="16" bestFit="1" customWidth="1"/>
    <col min="15" max="15" width="13.44140625" bestFit="1" customWidth="1"/>
    <col min="17" max="17" width="10.109375" bestFit="1" customWidth="1"/>
    <col min="18" max="18" width="11.5546875" customWidth="1"/>
  </cols>
  <sheetData>
    <row r="3" spans="1:18" x14ac:dyDescent="0.3">
      <c r="B3" s="3" t="s">
        <v>10</v>
      </c>
      <c r="I3" s="3" t="s">
        <v>9</v>
      </c>
      <c r="M3" s="3" t="s">
        <v>14</v>
      </c>
    </row>
    <row r="4" spans="1:18" x14ac:dyDescent="0.3">
      <c r="F4" s="4" t="s">
        <v>11</v>
      </c>
      <c r="Q4" s="4" t="s">
        <v>13</v>
      </c>
    </row>
    <row r="5" spans="1:18" x14ac:dyDescent="0.3">
      <c r="B5" s="3" t="s">
        <v>7</v>
      </c>
      <c r="C5" s="3" t="s">
        <v>0</v>
      </c>
      <c r="D5" s="3" t="s">
        <v>5</v>
      </c>
      <c r="F5" s="3" t="s">
        <v>0</v>
      </c>
      <c r="G5" s="3" t="s">
        <v>12</v>
      </c>
      <c r="I5" s="3" t="s">
        <v>7</v>
      </c>
      <c r="J5" s="3" t="s">
        <v>0</v>
      </c>
      <c r="K5" s="3" t="s">
        <v>5</v>
      </c>
      <c r="M5" s="3" t="s">
        <v>7</v>
      </c>
      <c r="N5" s="3" t="s">
        <v>0</v>
      </c>
      <c r="O5" s="3" t="s">
        <v>5</v>
      </c>
      <c r="Q5" t="s">
        <v>7</v>
      </c>
      <c r="R5" t="s">
        <v>12</v>
      </c>
    </row>
    <row r="6" spans="1:18" x14ac:dyDescent="0.3">
      <c r="A6" s="2"/>
      <c r="B6" s="2">
        <v>43131</v>
      </c>
      <c r="C6" t="s">
        <v>2</v>
      </c>
      <c r="D6" s="1">
        <v>124722</v>
      </c>
      <c r="F6" t="s">
        <v>2</v>
      </c>
      <c r="G6" s="6">
        <f>SUMIFS($D$6:$D$17,$C$6:$C$17,BikesQ1_1[[#This Row],[Product Name]])</f>
        <v>352026</v>
      </c>
      <c r="H6" s="2"/>
      <c r="I6" s="2">
        <v>43131</v>
      </c>
      <c r="J6" t="s">
        <v>2</v>
      </c>
      <c r="K6" s="1">
        <v>124722</v>
      </c>
      <c r="M6" s="2">
        <v>43131</v>
      </c>
      <c r="N6" t="s">
        <v>2</v>
      </c>
      <c r="O6" s="1">
        <v>124722</v>
      </c>
      <c r="Q6" s="2">
        <v>43131</v>
      </c>
      <c r="R6" s="7">
        <f>SUMIFS(Bikes[Sales Value],Bikes[Months],Bikes_2[[#This Row],[Months]])</f>
        <v>319285</v>
      </c>
    </row>
    <row r="7" spans="1:18" x14ac:dyDescent="0.3">
      <c r="A7" s="2"/>
      <c r="B7" s="2">
        <v>43131</v>
      </c>
      <c r="C7" t="s">
        <v>3</v>
      </c>
      <c r="D7" s="1">
        <v>100127</v>
      </c>
      <c r="F7" t="s">
        <v>3</v>
      </c>
      <c r="G7" s="6">
        <f>SUMIFS($D$6:$D$17,$C$6:$C$17,BikesQ1_1[[#This Row],[Product Name]])</f>
        <v>316437</v>
      </c>
      <c r="H7" s="2"/>
      <c r="I7" s="2">
        <v>43131</v>
      </c>
      <c r="J7" t="s">
        <v>3</v>
      </c>
      <c r="K7" s="1">
        <v>100127</v>
      </c>
      <c r="M7" s="2">
        <v>43131</v>
      </c>
      <c r="N7" t="s">
        <v>3</v>
      </c>
      <c r="O7" s="1">
        <v>100127</v>
      </c>
      <c r="Q7" s="2">
        <v>43159</v>
      </c>
      <c r="R7" s="7">
        <f>SUMIFS(Bikes[Sales Value],Bikes[Months],Bikes_2[[#This Row],[Months]])</f>
        <v>290162</v>
      </c>
    </row>
    <row r="8" spans="1:18" x14ac:dyDescent="0.3">
      <c r="A8" s="2"/>
      <c r="B8" s="2">
        <v>43131</v>
      </c>
      <c r="C8" t="s">
        <v>4</v>
      </c>
      <c r="D8" s="1">
        <v>28786</v>
      </c>
      <c r="F8" t="s">
        <v>4</v>
      </c>
      <c r="G8" s="6">
        <f>SUMIFS($D$6:$D$17,$C$6:$C$17,BikesQ1_1[[#This Row],[Product Name]])</f>
        <v>94054</v>
      </c>
      <c r="H8" s="2"/>
      <c r="I8" s="2">
        <v>43131</v>
      </c>
      <c r="J8" t="s">
        <v>4</v>
      </c>
      <c r="K8" s="1">
        <v>28786</v>
      </c>
      <c r="M8" s="2">
        <v>43131</v>
      </c>
      <c r="N8" t="s">
        <v>4</v>
      </c>
      <c r="O8" s="1">
        <v>28786</v>
      </c>
      <c r="Q8" s="2">
        <v>43190</v>
      </c>
      <c r="R8" s="7">
        <f>SUMIFS(Bikes[Sales Value],Bikes[Months],Bikes_2[[#This Row],[Months]])</f>
        <v>324020</v>
      </c>
    </row>
    <row r="9" spans="1:18" x14ac:dyDescent="0.3">
      <c r="A9" s="2"/>
      <c r="B9" s="2">
        <v>43131</v>
      </c>
      <c r="C9" t="s">
        <v>1</v>
      </c>
      <c r="D9" s="1">
        <v>65650</v>
      </c>
      <c r="F9" t="s">
        <v>1</v>
      </c>
      <c r="G9" s="6">
        <f>SUMIFS($D$6:$D$17,$C$6:$C$17,BikesQ1_1[[#This Row],[Product Name]])</f>
        <v>170950</v>
      </c>
      <c r="H9" s="2"/>
      <c r="I9" s="2">
        <v>43131</v>
      </c>
      <c r="J9" t="s">
        <v>1</v>
      </c>
      <c r="K9" s="1">
        <v>65650</v>
      </c>
      <c r="M9" s="2">
        <v>43131</v>
      </c>
      <c r="N9" t="s">
        <v>1</v>
      </c>
      <c r="O9" s="1">
        <v>65650</v>
      </c>
      <c r="Q9" s="2">
        <v>43220</v>
      </c>
      <c r="R9" s="2">
        <f>SUMIFS(Bikes[Sales Value],Bikes[Months],Bikes_2[[#This Row],[Months]])</f>
        <v>412045</v>
      </c>
    </row>
    <row r="10" spans="1:18" x14ac:dyDescent="0.3">
      <c r="A10" s="2"/>
      <c r="B10" s="2">
        <v>43159</v>
      </c>
      <c r="C10" t="s">
        <v>2</v>
      </c>
      <c r="D10" s="1">
        <v>106518</v>
      </c>
      <c r="G10" s="5"/>
      <c r="H10" s="2"/>
      <c r="I10" s="2">
        <v>43159</v>
      </c>
      <c r="J10" t="s">
        <v>2</v>
      </c>
      <c r="K10" s="1">
        <v>106518</v>
      </c>
      <c r="M10" s="2">
        <v>43159</v>
      </c>
      <c r="N10" t="s">
        <v>2</v>
      </c>
      <c r="O10" s="1">
        <v>106518</v>
      </c>
      <c r="Q10" s="2">
        <v>43251</v>
      </c>
      <c r="R10" s="2">
        <f>SUMIFS(Bikes[Sales Value],Bikes[Months],Bikes_2[[#This Row],[Months]])</f>
        <v>382076</v>
      </c>
    </row>
    <row r="11" spans="1:18" x14ac:dyDescent="0.3">
      <c r="A11" s="2"/>
      <c r="B11" s="2">
        <v>43159</v>
      </c>
      <c r="C11" t="s">
        <v>3</v>
      </c>
      <c r="D11" s="1">
        <v>103918</v>
      </c>
      <c r="H11" s="2"/>
      <c r="I11" s="2">
        <v>43159</v>
      </c>
      <c r="J11" t="s">
        <v>3</v>
      </c>
      <c r="K11" s="1">
        <v>103918</v>
      </c>
      <c r="M11" s="2">
        <v>43159</v>
      </c>
      <c r="N11" t="s">
        <v>3</v>
      </c>
      <c r="O11" s="1">
        <v>103918</v>
      </c>
      <c r="Q11" s="2">
        <v>43281</v>
      </c>
      <c r="R11" s="2">
        <f>SUMIFS(Bikes[Sales Value],Bikes[Months],Bikes_2[[#This Row],[Months]])</f>
        <v>346230</v>
      </c>
    </row>
    <row r="12" spans="1:18" x14ac:dyDescent="0.3">
      <c r="A12" s="2"/>
      <c r="B12" s="2">
        <v>43159</v>
      </c>
      <c r="C12" t="s">
        <v>4</v>
      </c>
      <c r="D12" s="1">
        <v>29156</v>
      </c>
      <c r="H12" s="2"/>
      <c r="I12" s="2">
        <v>43159</v>
      </c>
      <c r="J12" t="s">
        <v>4</v>
      </c>
      <c r="K12" s="1">
        <v>29156</v>
      </c>
      <c r="M12" s="2">
        <v>43159</v>
      </c>
      <c r="N12" t="s">
        <v>4</v>
      </c>
      <c r="O12" s="1">
        <v>29156</v>
      </c>
    </row>
    <row r="13" spans="1:18" x14ac:dyDescent="0.3">
      <c r="A13" s="2"/>
      <c r="B13" s="2">
        <v>43159</v>
      </c>
      <c r="C13" t="s">
        <v>1</v>
      </c>
      <c r="D13" s="1">
        <v>50570</v>
      </c>
      <c r="H13" s="2"/>
      <c r="I13" s="2">
        <v>43159</v>
      </c>
      <c r="J13" t="s">
        <v>1</v>
      </c>
      <c r="K13" s="1">
        <v>50570</v>
      </c>
      <c r="M13" s="2">
        <v>43159</v>
      </c>
      <c r="N13" t="s">
        <v>1</v>
      </c>
      <c r="O13" s="1">
        <v>50570</v>
      </c>
    </row>
    <row r="14" spans="1:18" x14ac:dyDescent="0.3">
      <c r="A14" s="2"/>
      <c r="B14" s="2">
        <v>43190</v>
      </c>
      <c r="C14" t="s">
        <v>2</v>
      </c>
      <c r="D14" s="1">
        <v>120786</v>
      </c>
      <c r="H14" s="2"/>
      <c r="I14" s="2">
        <v>43190</v>
      </c>
      <c r="J14" t="s">
        <v>2</v>
      </c>
      <c r="K14" s="1">
        <v>120786</v>
      </c>
      <c r="M14" s="2">
        <v>43190</v>
      </c>
      <c r="N14" t="s">
        <v>2</v>
      </c>
      <c r="O14" s="1">
        <v>120786</v>
      </c>
    </row>
    <row r="15" spans="1:18" x14ac:dyDescent="0.3">
      <c r="A15" s="2"/>
      <c r="B15" s="2">
        <v>43190</v>
      </c>
      <c r="C15" t="s">
        <v>3</v>
      </c>
      <c r="D15" s="1">
        <v>112392</v>
      </c>
      <c r="H15" s="2"/>
      <c r="I15" s="2">
        <v>43190</v>
      </c>
      <c r="J15" t="s">
        <v>3</v>
      </c>
      <c r="K15" s="1">
        <v>112392</v>
      </c>
      <c r="M15" s="2">
        <v>43190</v>
      </c>
      <c r="N15" t="s">
        <v>3</v>
      </c>
      <c r="O15" s="1">
        <v>112392</v>
      </c>
    </row>
    <row r="16" spans="1:18" x14ac:dyDescent="0.3">
      <c r="A16" s="2"/>
      <c r="B16" s="2">
        <v>43190</v>
      </c>
      <c r="C16" t="s">
        <v>4</v>
      </c>
      <c r="D16" s="1">
        <v>36112</v>
      </c>
      <c r="H16" s="2"/>
      <c r="I16" s="2">
        <v>43190</v>
      </c>
      <c r="J16" t="s">
        <v>4</v>
      </c>
      <c r="K16" s="1">
        <v>36112</v>
      </c>
      <c r="M16" s="2">
        <v>43190</v>
      </c>
      <c r="N16" t="s">
        <v>4</v>
      </c>
      <c r="O16" s="1">
        <v>36112</v>
      </c>
    </row>
    <row r="17" spans="1:15" x14ac:dyDescent="0.3">
      <c r="A17" s="2"/>
      <c r="B17" s="2">
        <v>43190</v>
      </c>
      <c r="C17" t="s">
        <v>1</v>
      </c>
      <c r="D17" s="1">
        <v>54730</v>
      </c>
      <c r="H17" s="2"/>
      <c r="I17" s="2">
        <v>43190</v>
      </c>
      <c r="J17" t="s">
        <v>1</v>
      </c>
      <c r="K17" s="1">
        <v>54730</v>
      </c>
      <c r="M17" s="2">
        <v>43190</v>
      </c>
      <c r="N17" t="s">
        <v>1</v>
      </c>
      <c r="O17" s="1">
        <v>54730</v>
      </c>
    </row>
    <row r="18" spans="1:15" x14ac:dyDescent="0.3">
      <c r="B18" s="2">
        <v>43220</v>
      </c>
      <c r="C18" t="s">
        <v>2</v>
      </c>
      <c r="D18" s="1">
        <v>126444</v>
      </c>
      <c r="M18" s="2">
        <v>43220</v>
      </c>
      <c r="N18" t="s">
        <v>2</v>
      </c>
      <c r="O18" s="1">
        <v>126444</v>
      </c>
    </row>
    <row r="19" spans="1:15" x14ac:dyDescent="0.3">
      <c r="B19" s="2">
        <v>43220</v>
      </c>
      <c r="C19" t="s">
        <v>3</v>
      </c>
      <c r="D19" s="1">
        <v>117967</v>
      </c>
      <c r="M19" s="2">
        <v>43220</v>
      </c>
      <c r="N19" t="s">
        <v>3</v>
      </c>
      <c r="O19" s="1">
        <v>117967</v>
      </c>
    </row>
    <row r="20" spans="1:15" x14ac:dyDescent="0.3">
      <c r="B20" s="2">
        <v>43220</v>
      </c>
      <c r="C20" t="s">
        <v>4</v>
      </c>
      <c r="D20" s="1">
        <v>36704</v>
      </c>
      <c r="M20" s="2">
        <v>43220</v>
      </c>
      <c r="N20" t="s">
        <v>4</v>
      </c>
      <c r="O20" s="1">
        <v>36704</v>
      </c>
    </row>
    <row r="21" spans="1:15" x14ac:dyDescent="0.3">
      <c r="B21" s="2">
        <v>43220</v>
      </c>
      <c r="C21" t="s">
        <v>1</v>
      </c>
      <c r="D21" s="1">
        <v>63830</v>
      </c>
      <c r="M21" s="2">
        <v>43220</v>
      </c>
      <c r="N21" t="s">
        <v>1</v>
      </c>
      <c r="O21" s="1">
        <v>63830</v>
      </c>
    </row>
    <row r="22" spans="1:15" x14ac:dyDescent="0.3">
      <c r="B22" s="2">
        <v>43220</v>
      </c>
      <c r="C22" t="s">
        <v>8</v>
      </c>
      <c r="D22" s="1">
        <v>67100</v>
      </c>
      <c r="M22" s="2">
        <v>43220</v>
      </c>
      <c r="N22" t="s">
        <v>8</v>
      </c>
      <c r="O22" s="1">
        <v>67100</v>
      </c>
    </row>
    <row r="23" spans="1:15" x14ac:dyDescent="0.3">
      <c r="B23" s="2">
        <v>43251</v>
      </c>
      <c r="C23" t="s">
        <v>2</v>
      </c>
      <c r="D23" s="1">
        <v>110700</v>
      </c>
      <c r="M23" s="2">
        <v>43251</v>
      </c>
      <c r="N23" t="s">
        <v>2</v>
      </c>
      <c r="O23" s="1">
        <v>110700</v>
      </c>
    </row>
    <row r="24" spans="1:15" x14ac:dyDescent="0.3">
      <c r="B24" s="2">
        <v>43251</v>
      </c>
      <c r="C24" t="s">
        <v>3</v>
      </c>
      <c r="D24" s="1">
        <v>111500</v>
      </c>
      <c r="M24" s="2">
        <v>43251</v>
      </c>
      <c r="N24" t="s">
        <v>3</v>
      </c>
      <c r="O24" s="1">
        <v>111500</v>
      </c>
    </row>
    <row r="25" spans="1:15" x14ac:dyDescent="0.3">
      <c r="B25" s="2">
        <v>43251</v>
      </c>
      <c r="C25" t="s">
        <v>4</v>
      </c>
      <c r="D25" s="1">
        <v>36926</v>
      </c>
      <c r="M25" s="2">
        <v>43251</v>
      </c>
      <c r="N25" t="s">
        <v>4</v>
      </c>
      <c r="O25" s="1">
        <v>36926</v>
      </c>
    </row>
    <row r="26" spans="1:15" x14ac:dyDescent="0.3">
      <c r="B26" s="2">
        <v>43251</v>
      </c>
      <c r="C26" t="s">
        <v>1</v>
      </c>
      <c r="D26" s="1">
        <v>56550</v>
      </c>
      <c r="M26" s="2">
        <v>43251</v>
      </c>
      <c r="N26" t="s">
        <v>1</v>
      </c>
      <c r="O26" s="1">
        <v>56550</v>
      </c>
    </row>
    <row r="27" spans="1:15" x14ac:dyDescent="0.3">
      <c r="B27" s="2">
        <v>43251</v>
      </c>
      <c r="C27" t="s">
        <v>8</v>
      </c>
      <c r="D27" s="1">
        <v>66400</v>
      </c>
      <c r="M27" s="2">
        <v>43251</v>
      </c>
      <c r="N27" t="s">
        <v>8</v>
      </c>
      <c r="O27" s="1">
        <v>66400</v>
      </c>
    </row>
    <row r="28" spans="1:15" x14ac:dyDescent="0.3">
      <c r="B28" s="2">
        <v>43281</v>
      </c>
      <c r="C28" t="s">
        <v>2</v>
      </c>
      <c r="D28" s="1">
        <v>109224</v>
      </c>
      <c r="M28" s="2">
        <v>43281</v>
      </c>
      <c r="N28" t="s">
        <v>2</v>
      </c>
      <c r="O28" s="1">
        <v>109224</v>
      </c>
    </row>
    <row r="29" spans="1:15" x14ac:dyDescent="0.3">
      <c r="B29" s="2">
        <v>43281</v>
      </c>
      <c r="C29" t="s">
        <v>3</v>
      </c>
      <c r="D29" s="1">
        <v>103472</v>
      </c>
      <c r="M29" s="2">
        <v>43281</v>
      </c>
      <c r="N29" t="s">
        <v>3</v>
      </c>
      <c r="O29" s="1">
        <v>103472</v>
      </c>
    </row>
    <row r="30" spans="1:15" x14ac:dyDescent="0.3">
      <c r="B30" s="2">
        <v>43281</v>
      </c>
      <c r="C30" t="s">
        <v>4</v>
      </c>
      <c r="D30" s="1">
        <v>29674</v>
      </c>
      <c r="M30" s="2">
        <v>43281</v>
      </c>
      <c r="N30" t="s">
        <v>4</v>
      </c>
      <c r="O30" s="1">
        <v>29674</v>
      </c>
    </row>
    <row r="31" spans="1:15" x14ac:dyDescent="0.3">
      <c r="B31" s="2">
        <v>43281</v>
      </c>
      <c r="C31" t="s">
        <v>1</v>
      </c>
      <c r="D31" s="1">
        <v>58370</v>
      </c>
      <c r="M31" s="2">
        <v>43281</v>
      </c>
      <c r="N31" t="s">
        <v>1</v>
      </c>
      <c r="O31" s="1">
        <v>58370</v>
      </c>
    </row>
    <row r="32" spans="1:15" x14ac:dyDescent="0.3">
      <c r="B32" s="2">
        <v>43281</v>
      </c>
      <c r="C32" t="s">
        <v>8</v>
      </c>
      <c r="D32" s="1">
        <v>45490</v>
      </c>
      <c r="M32" s="2">
        <v>43281</v>
      </c>
      <c r="N32" t="s">
        <v>8</v>
      </c>
      <c r="O32" s="1">
        <v>45490</v>
      </c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794-8D4C-41C9-BB44-964F684910AD}">
  <dimension ref="B5:N34"/>
  <sheetViews>
    <sheetView tabSelected="1" topLeftCell="H4" workbookViewId="0">
      <selection activeCell="N16" sqref="N16"/>
    </sheetView>
  </sheetViews>
  <sheetFormatPr defaultRowHeight="14.4" x14ac:dyDescent="0.3"/>
  <cols>
    <col min="2" max="2" width="10.33203125" bestFit="1" customWidth="1"/>
    <col min="3" max="3" width="15" customWidth="1"/>
    <col min="4" max="4" width="12.33203125" customWidth="1"/>
    <col min="8" max="8" width="10.33203125" bestFit="1" customWidth="1"/>
    <col min="9" max="9" width="15.44140625" bestFit="1" customWidth="1"/>
    <col min="10" max="10" width="12.6640625" bestFit="1" customWidth="1"/>
    <col min="12" max="12" width="17.6640625" bestFit="1" customWidth="1"/>
    <col min="13" max="13" width="15.44140625" bestFit="1" customWidth="1"/>
    <col min="14" max="14" width="17" bestFit="1" customWidth="1"/>
    <col min="15" max="17" width="15.44140625" bestFit="1" customWidth="1"/>
    <col min="18" max="18" width="10.77734375" bestFit="1" customWidth="1"/>
  </cols>
  <sheetData>
    <row r="5" spans="2:14" x14ac:dyDescent="0.3">
      <c r="B5" s="3" t="s">
        <v>7</v>
      </c>
      <c r="C5" s="3" t="s">
        <v>0</v>
      </c>
      <c r="D5" s="3" t="s">
        <v>5</v>
      </c>
    </row>
    <row r="6" spans="2:14" x14ac:dyDescent="0.3">
      <c r="B6" s="2">
        <v>43131</v>
      </c>
      <c r="C6" t="s">
        <v>2</v>
      </c>
      <c r="D6" s="1">
        <v>124722</v>
      </c>
      <c r="H6" t="s">
        <v>7</v>
      </c>
      <c r="I6" t="s">
        <v>0</v>
      </c>
      <c r="J6" t="s">
        <v>5</v>
      </c>
      <c r="L6" s="9" t="s">
        <v>7</v>
      </c>
      <c r="M6" s="9" t="s">
        <v>0</v>
      </c>
      <c r="N6" t="s">
        <v>6</v>
      </c>
    </row>
    <row r="7" spans="2:14" x14ac:dyDescent="0.3">
      <c r="B7" s="2">
        <v>43131</v>
      </c>
      <c r="C7" t="s">
        <v>3</v>
      </c>
      <c r="D7" s="1">
        <v>100127</v>
      </c>
      <c r="H7" s="2">
        <v>43131</v>
      </c>
      <c r="I7" s="8" t="s">
        <v>2</v>
      </c>
      <c r="J7">
        <v>124722</v>
      </c>
      <c r="L7" s="2">
        <v>43131</v>
      </c>
      <c r="M7" t="s">
        <v>2</v>
      </c>
      <c r="N7" s="8">
        <v>124722</v>
      </c>
    </row>
    <row r="8" spans="2:14" x14ac:dyDescent="0.3">
      <c r="B8" s="2">
        <v>43131</v>
      </c>
      <c r="C8" t="s">
        <v>4</v>
      </c>
      <c r="D8" s="1">
        <v>28786</v>
      </c>
      <c r="H8" s="2">
        <v>43131</v>
      </c>
      <c r="I8" s="8" t="s">
        <v>3</v>
      </c>
      <c r="J8">
        <v>100127</v>
      </c>
      <c r="M8" t="s">
        <v>3</v>
      </c>
      <c r="N8" s="8">
        <v>100127</v>
      </c>
    </row>
    <row r="9" spans="2:14" x14ac:dyDescent="0.3">
      <c r="B9" s="2">
        <v>43131</v>
      </c>
      <c r="C9" t="s">
        <v>1</v>
      </c>
      <c r="D9" s="1">
        <v>65650</v>
      </c>
      <c r="H9" s="2">
        <v>43131</v>
      </c>
      <c r="I9" s="8" t="s">
        <v>4</v>
      </c>
      <c r="J9">
        <v>28786</v>
      </c>
      <c r="M9" t="s">
        <v>4</v>
      </c>
      <c r="N9" s="8">
        <v>28786</v>
      </c>
    </row>
    <row r="10" spans="2:14" x14ac:dyDescent="0.3">
      <c r="B10" s="2">
        <v>43159</v>
      </c>
      <c r="C10" t="s">
        <v>2</v>
      </c>
      <c r="D10" s="1">
        <v>106518</v>
      </c>
      <c r="H10" s="2">
        <v>43131</v>
      </c>
      <c r="I10" s="8" t="s">
        <v>1</v>
      </c>
      <c r="J10">
        <v>65650</v>
      </c>
      <c r="M10" t="s">
        <v>1</v>
      </c>
      <c r="N10" s="8">
        <v>65650</v>
      </c>
    </row>
    <row r="11" spans="2:14" x14ac:dyDescent="0.3">
      <c r="B11" s="2">
        <v>43159</v>
      </c>
      <c r="C11" t="s">
        <v>3</v>
      </c>
      <c r="D11" s="1">
        <v>103918</v>
      </c>
      <c r="H11" s="2">
        <v>43159</v>
      </c>
      <c r="I11" s="8" t="s">
        <v>2</v>
      </c>
      <c r="J11">
        <v>106518</v>
      </c>
      <c r="L11" s="2" t="s">
        <v>16</v>
      </c>
      <c r="N11" s="8">
        <v>319285</v>
      </c>
    </row>
    <row r="12" spans="2:14" x14ac:dyDescent="0.3">
      <c r="B12" s="2">
        <v>43159</v>
      </c>
      <c r="C12" t="s">
        <v>4</v>
      </c>
      <c r="D12" s="1">
        <v>29156</v>
      </c>
      <c r="H12" s="2">
        <v>43159</v>
      </c>
      <c r="I12" s="8" t="s">
        <v>3</v>
      </c>
      <c r="J12">
        <v>103918</v>
      </c>
      <c r="L12" s="2">
        <v>43159</v>
      </c>
      <c r="M12" t="s">
        <v>2</v>
      </c>
      <c r="N12" s="8">
        <v>106518</v>
      </c>
    </row>
    <row r="13" spans="2:14" x14ac:dyDescent="0.3">
      <c r="B13" s="2">
        <v>43159</v>
      </c>
      <c r="C13" t="s">
        <v>1</v>
      </c>
      <c r="D13" s="1">
        <v>50570</v>
      </c>
      <c r="H13" s="2">
        <v>43159</v>
      </c>
      <c r="I13" s="8" t="s">
        <v>4</v>
      </c>
      <c r="J13">
        <v>29156</v>
      </c>
      <c r="M13" t="s">
        <v>3</v>
      </c>
      <c r="N13" s="8">
        <v>103918</v>
      </c>
    </row>
    <row r="14" spans="2:14" x14ac:dyDescent="0.3">
      <c r="B14" s="2">
        <v>43190</v>
      </c>
      <c r="C14" t="s">
        <v>2</v>
      </c>
      <c r="D14" s="1">
        <v>120786</v>
      </c>
      <c r="H14" s="2">
        <v>43159</v>
      </c>
      <c r="I14" s="8" t="s">
        <v>1</v>
      </c>
      <c r="J14">
        <v>50570</v>
      </c>
      <c r="M14" t="s">
        <v>4</v>
      </c>
      <c r="N14" s="8">
        <v>29156</v>
      </c>
    </row>
    <row r="15" spans="2:14" x14ac:dyDescent="0.3">
      <c r="B15" s="2">
        <v>43190</v>
      </c>
      <c r="C15" t="s">
        <v>3</v>
      </c>
      <c r="D15" s="1">
        <v>112392</v>
      </c>
      <c r="H15" s="2">
        <v>43190</v>
      </c>
      <c r="I15" s="8" t="s">
        <v>2</v>
      </c>
      <c r="J15">
        <v>120786</v>
      </c>
      <c r="M15" t="s">
        <v>1</v>
      </c>
      <c r="N15" s="8">
        <v>50570</v>
      </c>
    </row>
    <row r="16" spans="2:14" x14ac:dyDescent="0.3">
      <c r="B16" s="2">
        <v>43190</v>
      </c>
      <c r="C16" t="s">
        <v>4</v>
      </c>
      <c r="D16" s="1">
        <v>36112</v>
      </c>
      <c r="H16" s="2">
        <v>43190</v>
      </c>
      <c r="I16" s="8" t="s">
        <v>3</v>
      </c>
      <c r="J16">
        <v>112392</v>
      </c>
      <c r="L16" s="2" t="s">
        <v>17</v>
      </c>
      <c r="N16" s="8">
        <v>290162</v>
      </c>
    </row>
    <row r="17" spans="2:14" x14ac:dyDescent="0.3">
      <c r="B17" s="2">
        <v>43190</v>
      </c>
      <c r="C17" t="s">
        <v>1</v>
      </c>
      <c r="D17" s="1">
        <v>54730</v>
      </c>
      <c r="H17" s="2">
        <v>43190</v>
      </c>
      <c r="I17" s="8" t="s">
        <v>4</v>
      </c>
      <c r="J17">
        <v>36112</v>
      </c>
      <c r="L17" s="2">
        <v>43190</v>
      </c>
      <c r="M17" t="s">
        <v>2</v>
      </c>
      <c r="N17" s="8">
        <v>120786</v>
      </c>
    </row>
    <row r="18" spans="2:14" x14ac:dyDescent="0.3">
      <c r="B18" s="2">
        <v>43220</v>
      </c>
      <c r="C18" t="s">
        <v>2</v>
      </c>
      <c r="D18" s="1">
        <v>126444</v>
      </c>
      <c r="H18" s="2">
        <v>43190</v>
      </c>
      <c r="I18" s="8" t="s">
        <v>1</v>
      </c>
      <c r="J18">
        <v>54730</v>
      </c>
      <c r="M18" t="s">
        <v>3</v>
      </c>
      <c r="N18" s="8">
        <v>112392</v>
      </c>
    </row>
    <row r="19" spans="2:14" x14ac:dyDescent="0.3">
      <c r="B19" s="2">
        <v>43220</v>
      </c>
      <c r="C19" t="s">
        <v>3</v>
      </c>
      <c r="D19" s="1">
        <v>117967</v>
      </c>
      <c r="H19" s="2">
        <v>43220</v>
      </c>
      <c r="I19" s="8" t="s">
        <v>2</v>
      </c>
      <c r="J19">
        <v>126444</v>
      </c>
      <c r="M19" t="s">
        <v>4</v>
      </c>
      <c r="N19" s="8">
        <v>36112</v>
      </c>
    </row>
    <row r="20" spans="2:14" x14ac:dyDescent="0.3">
      <c r="B20" s="2">
        <v>43220</v>
      </c>
      <c r="C20" t="s">
        <v>4</v>
      </c>
      <c r="D20" s="1">
        <v>36704</v>
      </c>
      <c r="H20" s="2">
        <v>43220</v>
      </c>
      <c r="I20" s="8" t="s">
        <v>3</v>
      </c>
      <c r="J20">
        <v>117967</v>
      </c>
      <c r="M20" t="s">
        <v>1</v>
      </c>
      <c r="N20" s="8">
        <v>54730</v>
      </c>
    </row>
    <row r="21" spans="2:14" x14ac:dyDescent="0.3">
      <c r="B21" s="2">
        <v>43220</v>
      </c>
      <c r="C21" t="s">
        <v>1</v>
      </c>
      <c r="D21" s="1">
        <v>63830</v>
      </c>
      <c r="H21" s="2">
        <v>43220</v>
      </c>
      <c r="I21" s="8" t="s">
        <v>4</v>
      </c>
      <c r="J21">
        <v>36704</v>
      </c>
      <c r="L21" s="2" t="s">
        <v>18</v>
      </c>
      <c r="N21" s="8">
        <v>324020</v>
      </c>
    </row>
    <row r="22" spans="2:14" x14ac:dyDescent="0.3">
      <c r="B22" s="2">
        <v>43220</v>
      </c>
      <c r="C22" t="s">
        <v>8</v>
      </c>
      <c r="D22" s="1">
        <v>67100</v>
      </c>
      <c r="H22" s="2">
        <v>43220</v>
      </c>
      <c r="I22" s="8" t="s">
        <v>1</v>
      </c>
      <c r="J22">
        <v>63830</v>
      </c>
      <c r="L22" s="2">
        <v>43220</v>
      </c>
      <c r="M22" t="s">
        <v>2</v>
      </c>
      <c r="N22" s="8">
        <v>126444</v>
      </c>
    </row>
    <row r="23" spans="2:14" x14ac:dyDescent="0.3">
      <c r="B23" s="2">
        <v>43251</v>
      </c>
      <c r="C23" t="s">
        <v>2</v>
      </c>
      <c r="D23" s="1">
        <v>110700</v>
      </c>
      <c r="H23" s="2">
        <v>43220</v>
      </c>
      <c r="I23" s="8" t="s">
        <v>8</v>
      </c>
      <c r="J23">
        <v>67100</v>
      </c>
      <c r="M23" t="s">
        <v>8</v>
      </c>
      <c r="N23" s="8">
        <v>67100</v>
      </c>
    </row>
    <row r="24" spans="2:14" x14ac:dyDescent="0.3">
      <c r="B24" s="2">
        <v>43251</v>
      </c>
      <c r="C24" t="s">
        <v>3</v>
      </c>
      <c r="D24" s="1">
        <v>111500</v>
      </c>
      <c r="H24" s="2">
        <v>43251</v>
      </c>
      <c r="I24" s="8" t="s">
        <v>2</v>
      </c>
      <c r="J24">
        <v>110700</v>
      </c>
      <c r="M24" t="s">
        <v>3</v>
      </c>
      <c r="N24" s="8">
        <v>117967</v>
      </c>
    </row>
    <row r="25" spans="2:14" x14ac:dyDescent="0.3">
      <c r="B25" s="2">
        <v>43251</v>
      </c>
      <c r="C25" t="s">
        <v>4</v>
      </c>
      <c r="D25" s="1">
        <v>36926</v>
      </c>
      <c r="H25" s="2">
        <v>43251</v>
      </c>
      <c r="I25" s="8" t="s">
        <v>3</v>
      </c>
      <c r="J25">
        <v>111500</v>
      </c>
      <c r="M25" t="s">
        <v>4</v>
      </c>
      <c r="N25" s="8">
        <v>36704</v>
      </c>
    </row>
    <row r="26" spans="2:14" x14ac:dyDescent="0.3">
      <c r="B26" s="2">
        <v>43251</v>
      </c>
      <c r="C26" t="s">
        <v>1</v>
      </c>
      <c r="D26" s="1">
        <v>56550</v>
      </c>
      <c r="H26" s="2">
        <v>43251</v>
      </c>
      <c r="I26" s="8" t="s">
        <v>4</v>
      </c>
      <c r="J26">
        <v>36926</v>
      </c>
      <c r="M26" t="s">
        <v>1</v>
      </c>
      <c r="N26" s="8">
        <v>63830</v>
      </c>
    </row>
    <row r="27" spans="2:14" x14ac:dyDescent="0.3">
      <c r="B27" s="2">
        <v>43251</v>
      </c>
      <c r="C27" t="s">
        <v>8</v>
      </c>
      <c r="D27" s="1">
        <v>66400</v>
      </c>
      <c r="H27" s="2">
        <v>43251</v>
      </c>
      <c r="I27" s="8" t="s">
        <v>1</v>
      </c>
      <c r="J27">
        <v>56550</v>
      </c>
      <c r="L27" s="2" t="s">
        <v>19</v>
      </c>
      <c r="N27" s="8">
        <v>412045</v>
      </c>
    </row>
    <row r="28" spans="2:14" x14ac:dyDescent="0.3">
      <c r="H28" s="2">
        <v>43251</v>
      </c>
      <c r="I28" s="8" t="s">
        <v>8</v>
      </c>
      <c r="J28">
        <v>66400</v>
      </c>
      <c r="L28" s="2">
        <v>43251</v>
      </c>
      <c r="M28" t="s">
        <v>2</v>
      </c>
      <c r="N28" s="8">
        <v>110700</v>
      </c>
    </row>
    <row r="29" spans="2:14" x14ac:dyDescent="0.3">
      <c r="M29" t="s">
        <v>8</v>
      </c>
      <c r="N29" s="8">
        <v>66400</v>
      </c>
    </row>
    <row r="30" spans="2:14" x14ac:dyDescent="0.3">
      <c r="M30" t="s">
        <v>3</v>
      </c>
      <c r="N30" s="8">
        <v>111500</v>
      </c>
    </row>
    <row r="31" spans="2:14" x14ac:dyDescent="0.3">
      <c r="M31" t="s">
        <v>4</v>
      </c>
      <c r="N31" s="8">
        <v>36926</v>
      </c>
    </row>
    <row r="32" spans="2:14" x14ac:dyDescent="0.3">
      <c r="M32" t="s">
        <v>1</v>
      </c>
      <c r="N32" s="8">
        <v>56550</v>
      </c>
    </row>
    <row r="33" spans="12:14" x14ac:dyDescent="0.3">
      <c r="L33" s="2" t="s">
        <v>20</v>
      </c>
      <c r="N33" s="8">
        <v>382076</v>
      </c>
    </row>
    <row r="34" spans="12:14" x14ac:dyDescent="0.3">
      <c r="L34" s="2" t="s">
        <v>15</v>
      </c>
      <c r="N34" s="8">
        <v>1727588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1B7E-6FAC-4832-9A71-DFAE67FF69C6}">
  <dimension ref="B2:D17"/>
  <sheetViews>
    <sheetView workbookViewId="0">
      <selection activeCell="B3" sqref="B3:D17"/>
    </sheetView>
  </sheetViews>
  <sheetFormatPr defaultRowHeight="14.4" x14ac:dyDescent="0.3"/>
  <cols>
    <col min="2" max="2" width="11.21875" customWidth="1"/>
    <col min="3" max="3" width="14.88671875" bestFit="1" customWidth="1"/>
    <col min="4" max="4" width="18" bestFit="1" customWidth="1"/>
  </cols>
  <sheetData>
    <row r="2" spans="2:4" x14ac:dyDescent="0.3">
      <c r="B2" t="s">
        <v>7</v>
      </c>
      <c r="C2" t="s">
        <v>0</v>
      </c>
      <c r="D2" t="s">
        <v>6</v>
      </c>
    </row>
    <row r="3" spans="2:4" x14ac:dyDescent="0.3">
      <c r="B3" s="2">
        <v>43220</v>
      </c>
      <c r="C3" t="s">
        <v>2</v>
      </c>
      <c r="D3" s="1">
        <v>126444</v>
      </c>
    </row>
    <row r="4" spans="2:4" x14ac:dyDescent="0.3">
      <c r="B4" s="2">
        <v>43220</v>
      </c>
      <c r="C4" t="s">
        <v>3</v>
      </c>
      <c r="D4" s="1">
        <v>117967</v>
      </c>
    </row>
    <row r="5" spans="2:4" x14ac:dyDescent="0.3">
      <c r="B5" s="2">
        <v>43220</v>
      </c>
      <c r="C5" t="s">
        <v>4</v>
      </c>
      <c r="D5" s="1">
        <v>36704</v>
      </c>
    </row>
    <row r="6" spans="2:4" x14ac:dyDescent="0.3">
      <c r="B6" s="2">
        <v>43220</v>
      </c>
      <c r="C6" t="s">
        <v>1</v>
      </c>
      <c r="D6" s="1">
        <v>63830</v>
      </c>
    </row>
    <row r="7" spans="2:4" x14ac:dyDescent="0.3">
      <c r="B7" s="2">
        <v>43220</v>
      </c>
      <c r="C7" t="s">
        <v>8</v>
      </c>
      <c r="D7" s="1">
        <v>67100</v>
      </c>
    </row>
    <row r="8" spans="2:4" x14ac:dyDescent="0.3">
      <c r="B8" s="2">
        <v>43251</v>
      </c>
      <c r="C8" t="s">
        <v>2</v>
      </c>
      <c r="D8" s="1">
        <v>110700</v>
      </c>
    </row>
    <row r="9" spans="2:4" x14ac:dyDescent="0.3">
      <c r="B9" s="2">
        <v>43251</v>
      </c>
      <c r="C9" t="s">
        <v>3</v>
      </c>
      <c r="D9" s="1">
        <v>111500</v>
      </c>
    </row>
    <row r="10" spans="2:4" x14ac:dyDescent="0.3">
      <c r="B10" s="2">
        <v>43251</v>
      </c>
      <c r="C10" t="s">
        <v>4</v>
      </c>
      <c r="D10" s="1">
        <v>36926</v>
      </c>
    </row>
    <row r="11" spans="2:4" x14ac:dyDescent="0.3">
      <c r="B11" s="2">
        <v>43251</v>
      </c>
      <c r="C11" t="s">
        <v>1</v>
      </c>
      <c r="D11" s="1">
        <v>56550</v>
      </c>
    </row>
    <row r="12" spans="2:4" x14ac:dyDescent="0.3">
      <c r="B12" s="2">
        <v>43251</v>
      </c>
      <c r="C12" t="s">
        <v>8</v>
      </c>
      <c r="D12" s="1">
        <v>66400</v>
      </c>
    </row>
    <row r="13" spans="2:4" x14ac:dyDescent="0.3">
      <c r="B13" s="2">
        <v>43281</v>
      </c>
      <c r="C13" t="s">
        <v>2</v>
      </c>
      <c r="D13" s="1">
        <v>109224</v>
      </c>
    </row>
    <row r="14" spans="2:4" x14ac:dyDescent="0.3">
      <c r="B14" s="2">
        <v>43281</v>
      </c>
      <c r="C14" t="s">
        <v>3</v>
      </c>
      <c r="D14" s="1">
        <v>103472</v>
      </c>
    </row>
    <row r="15" spans="2:4" x14ac:dyDescent="0.3">
      <c r="B15" s="2">
        <v>43281</v>
      </c>
      <c r="C15" t="s">
        <v>4</v>
      </c>
      <c r="D15" s="1">
        <v>29674</v>
      </c>
    </row>
    <row r="16" spans="2:4" x14ac:dyDescent="0.3">
      <c r="B16" s="2">
        <v>43281</v>
      </c>
      <c r="C16" t="s">
        <v>1</v>
      </c>
      <c r="D16" s="1">
        <v>58370</v>
      </c>
    </row>
    <row r="17" spans="2:4" x14ac:dyDescent="0.3">
      <c r="B17" s="2">
        <v>43281</v>
      </c>
      <c r="C17" t="s">
        <v>8</v>
      </c>
      <c r="D17" s="1">
        <v>45490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2F6A1-0581-47FB-AF1F-351A125F4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Q1Sales</vt:lpstr>
      <vt:lpstr>Q3Sales</vt:lpstr>
      <vt:lpstr>Q2Sales</vt:lpstr>
      <vt:lpstr>BikesQ1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Mostafa</dc:creator>
  <cp:lastModifiedBy>Shakeer Shaik</cp:lastModifiedBy>
  <dcterms:created xsi:type="dcterms:W3CDTF">2019-10-03T16:44:18Z</dcterms:created>
  <dcterms:modified xsi:type="dcterms:W3CDTF">2026-07-05T07:27:55Z</dcterms:modified>
</cp:coreProperties>
</file>